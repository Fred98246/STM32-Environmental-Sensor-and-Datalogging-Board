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<sst xmlns="http://schemas.openxmlformats.org/spreadsheetml/2006/main" count="47" uniqueCount="47">
  <si>
    <t>Component name</t>
  </si>
  <si>
    <t>Part number</t>
  </si>
  <si>
    <t>Data sheet</t>
  </si>
  <si>
    <t>Price (Mouser)</t>
  </si>
  <si>
    <t>Quantity</t>
  </si>
  <si>
    <t>STM 32 Microconroler</t>
  </si>
  <si>
    <t>STM32F103C8T6</t>
  </si>
  <si>
    <t>https://www.st.com/resource/en/datasheet/stm32f103c8.pdf</t>
  </si>
  <si>
    <t>LDO Power 3.3V</t>
  </si>
  <si>
    <t>AP2112K-3.3TRG1</t>
  </si>
  <si>
    <t>https://www.diodes.com//assets/Datasheets/AP2112.pdf</t>
  </si>
  <si>
    <t>Li-Ion Battery Charger</t>
  </si>
  <si>
    <t>MCP73831/2</t>
  </si>
  <si>
    <t>https://www.mouser.es/datasheet/3/282/1/MCP73831_Family_Data_Sheet_DS20001984H.pdf</t>
  </si>
  <si>
    <t>Battery Protection</t>
  </si>
  <si>
    <t>AP9101C</t>
  </si>
  <si>
    <t>https://4donline.ihs.com/images/VipMasterIC/IC/DIOD/DIOD-S-A0007229744/DIOD-S-A0007229744-1.pdf?hkey=CECEF36DEECDED6468708AAF2E19C0C6</t>
  </si>
  <si>
    <t>N-Channel Mosfets</t>
  </si>
  <si>
    <t>ZXMN3B14F</t>
  </si>
  <si>
    <t>https://www.mouser.es/datasheet/3/175/1/ZXMN3B14F.pdf</t>
  </si>
  <si>
    <t>Temp/Humidity Sensor</t>
  </si>
  <si>
    <t>SHT3x-DIS</t>
  </si>
  <si>
    <t>https://www.mouser.es/datasheet/3/1278/1/080A7561932A882253F24EE2F1BFBB37F2FE6DCAD49B4883533175650C45BFA9.pdf</t>
  </si>
  <si>
    <t>Light sensor</t>
  </si>
  <si>
    <t>OPT3001DNPRQ1</t>
  </si>
  <si>
    <t>https://www.ti.com/lit/ds/symlink/opt3001-q1.pdf?ts=1783836413148</t>
  </si>
  <si>
    <t>P-Channel MOSFET</t>
  </si>
  <si>
    <t>AO3401A</t>
  </si>
  <si>
    <t>https://www.aosmd.com/sites/default/files/res/datasheets/AO3401A.pdf</t>
  </si>
  <si>
    <t>Schottky diode</t>
  </si>
  <si>
    <t>SS14</t>
  </si>
  <si>
    <t>https://www.vishay.com/docs/88746/ss12.pdf</t>
  </si>
  <si>
    <t>TVS DIODE ARRAY for USB</t>
  </si>
  <si>
    <t>D3V3XA4B10LP</t>
  </si>
  <si>
    <t>https://www.diodes.com/assets/Datasheets/D3V3XA4B10LP.pdf</t>
  </si>
  <si>
    <t>MicroSD Card</t>
  </si>
  <si>
    <t>47219-2001</t>
  </si>
  <si>
    <t>https://www.molex.com/en-us/products/part-detail-pdf/472192001?display=pdf</t>
  </si>
  <si>
    <t>Cristal 16MHz</t>
  </si>
  <si>
    <t>LFXTAL085871</t>
  </si>
  <si>
    <t>https://www.mouser.es/datasheet/3/1460/1/LFXTAL085871.pdf</t>
  </si>
  <si>
    <t>Rotary Encoder</t>
  </si>
  <si>
    <t>EC12</t>
  </si>
  <si>
    <t>https://es.aliexpress.com/item/1005005196870256.html?spm=a2g0o.detail.pcDetailTopMoreOtherSeller.1.14b368b1ufOQEM&amp;gps-id=pcDetailTopMoreOtherSeller&amp;scm=1007.40050.354490.0&amp;scm_id=1007.40050.354490.0&amp;scm-url=1007.40050.354490.0&amp;pvid=1fad348d-7aad-419d-8ec0-e58aa2a5c1af&amp;_t=gps-id%3ApcDetailTopMoreOtherSeller%2Cscm-url%3A1007.40050.354490.0%2Cpvid%3A1fad348d-7aad-419d-8ec0-e58aa2a5c1af%2Ctpp_buckets%3A668%232846%238114%231999&amp;pdp_ext_f=%7B%22order%22%3A%22680%22%2C%22eval%22%3A%221%22%2C%22sceneId%22%3A%2230050%22%2C%22fromPage%22%3A%22recommend%22%7D&amp;pdp_npi=6%40dis%21EUR%211.21%211.14%21%21%211.36%211.28%21%402103849717842155366575179e0d65%2112000032095591032%21rec%21ES%216323531482%21X%211%210%21n_tag%3A-29919%3Bd%3A76176c20%3Bm03_new_user%3A-29895%3BpisId%3A5000000212172017&amp;utparam-url=scene%3ApcDetailTopMoreOtherSeller%7Cquery_from%3A%7Cx_object_id%3A1005005196870256%7C_p_origin_prod%3A</t>
  </si>
  <si>
    <t>Manufacturing JLCPCB</t>
  </si>
  <si>
    <t>https://cart.jlcpcb.com/quote?spm=jlcpcb.Public.2006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</si>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</sst>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 €"/>
    <numFmt numFmtId="165" formatCode="0.00&quot; €&quot;"/>
    <numFmt numFmtId="166" formatCode="&quot;€&quot;#,##0.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9.0"/>
      <color rgb="FF333333"/>
      <name val="Arial"/>
    </font>
    <font>
      <u/>
      <color rgb="FF434343"/>
      <name val="Roboto"/>
    </font>
    <font>
      <color rgb="FF1F1F1F"/>
      <name val="Arial"/>
      <scheme val="minor"/>
    </font>
    <font>
      <color rgb="FF434343"/>
      <name val="Roboto"/>
    </font>
    <font>
      <u/>
      <color rgb="FF434343"/>
      <name val="Roboto"/>
    </font>
    <font>
      <sz val="9.0"/>
      <color theme="1"/>
      <name val="Arial"/>
    </font>
    <font>
      <sz val="8.0"/>
      <color rgb="FF333333"/>
      <name val="Arial"/>
    </font>
    <font>
      <color rgb="FF111111"/>
      <name val="&quot;Source Code Pro&quot;"/>
    </font>
    <font>
      <sz val="9.0"/>
      <color theme="1"/>
      <name val="Arial"/>
      <scheme val="minor"/>
    </font>
    <font>
      <sz val="9.0"/>
      <color rgb="FF000000"/>
      <name val="&quot;TT Norms Pro&quot;"/>
    </font>
    <font>
      <u/>
      <color rgb="FF0000FF"/>
      <name val="Roboto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7F6FD"/>
        <bgColor rgb="FFE7F6FD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5F5F5"/>
      </left>
      <right style="thin">
        <color rgb="FF284E3F"/>
      </right>
      <top style="thin">
        <color rgb="FFF5F5F5"/>
      </top>
      <bottom style="thin">
        <color rgb="FFF5F5F5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164" xfId="0" applyAlignment="1" applyFill="1" applyFont="1" applyNumberFormat="1">
      <alignment horizontal="right" readingOrder="0" shrinkToFit="0" vertical="center" wrapText="0"/>
    </xf>
    <xf borderId="0" fillId="2" fontId="3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3" fontId="3" numFmtId="164" xfId="0" applyAlignment="1" applyFill="1" applyFont="1" applyNumberFormat="1">
      <alignment horizontal="right" readingOrder="0" shrinkToFit="0" vertical="center" wrapText="0"/>
    </xf>
    <xf borderId="0" fillId="3" fontId="3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horizontal="righ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shrinkToFit="0" vertical="center" wrapText="0"/>
    </xf>
    <xf borderId="3" fillId="0" fontId="8" numFmtId="164" xfId="0" applyAlignment="1" applyBorder="1" applyFont="1" applyNumberFormat="1">
      <alignment horizontal="right" readingOrder="0"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9" numFmtId="0" xfId="0" applyAlignment="1" applyFont="1">
      <alignment horizontal="right" readingOrder="0" shrinkToFit="0" vertical="center" wrapText="0"/>
    </xf>
    <xf borderId="0" fillId="4" fontId="10" numFmtId="0" xfId="0" applyAlignment="1" applyFill="1" applyFont="1">
      <alignment horizontal="left" readingOrder="0" shrinkToFit="0" vertical="center" wrapText="1"/>
    </xf>
    <xf borderId="0" fillId="0" fontId="11" numFmtId="165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Components" name="Components" id="1">
  <tableColumns count="5">
    <tableColumn name="Component name" id="1"/>
    <tableColumn name="Part number" id="2"/>
    <tableColumn name="Data sheet" id="3"/>
    <tableColumn name="Price (Mouser)" id="4"/>
    <tableColumn name="Quantity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olex.com/en-us/products/part-detail-pdf/472192001?display=pdf" TargetMode="External"/><Relationship Id="rId10" Type="http://schemas.openxmlformats.org/officeDocument/2006/relationships/hyperlink" Target="https://www.diodes.com/assets/Datasheets/D3V3XA4B10LP.pdf" TargetMode="External"/><Relationship Id="rId13" Type="http://schemas.openxmlformats.org/officeDocument/2006/relationships/hyperlink" Target="https://es.aliexpress.com/item/1005005196870256.html?spm=a2g0o.detail.pcDetailTopMoreOtherSeller.1.14b368b1ufOQEM&amp;gps-id=pcDetailTopMoreOtherSeller&amp;scm=1007.40050.354490.0&amp;scm_id=1007.40050.354490.0&amp;scm-url=1007.40050.354490.0&amp;pvid=1fad348d-7aad-419d-8ec0-e58aa2a5c1af&amp;_t=gps-id%3ApcDetailTopMoreOtherSeller%2Cscm-url%3A1007.40050.354490.0%2Cpvid%3A1fad348d-7aad-419d-8ec0-e58aa2a5c1af%2Ctpp_buckets%3A668%232846%238114%231999&amp;pdp_ext_f=%7B%22order%22%3A%22680%22%2C%22eval%22%3A%221%22%2C%22sceneId%22%3A%2230050%22%2C%22fromPage%22%3A%22recommend%22%7D&amp;pdp_npi=6%40dis%21EUR%211.21%211.14%21%21%211.36%211.28%21%402103849717842155366575179e0d65%2112000032095591032%21rec%21ES%216323531482%21X%211%210%21n_tag%3A-29919%3Bd%3A76176c20%3Bm03_new_user%3A-29895%3BpisId%3A5000000212172017&amp;utparam-url=scene%3ApcDetailTopMoreOtherSeller%7Cquery_from%3A%7Cx_object_id%3A1005005196870256%7C_p_origin_prod%3A" TargetMode="External"/><Relationship Id="rId12" Type="http://schemas.openxmlformats.org/officeDocument/2006/relationships/hyperlink" Target="https://www.mouser.es/datasheet/3/1460/1/LFXTAL085871.pdf" TargetMode="External"/><Relationship Id="rId1" Type="http://schemas.openxmlformats.org/officeDocument/2006/relationships/hyperlink" Target="https://www.st.com/resource/en/datasheet/stm32f103c8.pdf" TargetMode="External"/><Relationship Id="rId2" Type="http://schemas.openxmlformats.org/officeDocument/2006/relationships/hyperlink" Target="https://www.diodes.com//assets/Datasheets/AP2112.pdf" TargetMode="External"/><Relationship Id="rId3" Type="http://schemas.openxmlformats.org/officeDocument/2006/relationships/hyperlink" Target="https://www.mouser.es/datasheet/3/282/1/MCP73831_Family_Data_Sheet_DS20001984H.pdf" TargetMode="External"/><Relationship Id="rId4" Type="http://schemas.openxmlformats.org/officeDocument/2006/relationships/hyperlink" Target="https://4donline.ihs.com/images/VipMasterIC/IC/DIOD/DIOD-S-A0007229744/DIOD-S-A0007229744-1.pdf?hkey=CECEF36DEECDED6468708AAF2E19C0C6" TargetMode="External"/><Relationship Id="rId9" Type="http://schemas.openxmlformats.org/officeDocument/2006/relationships/hyperlink" Target="https://www.vishay.com/docs/88746/ss12.pdf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cart.jlcpcb.com/quote?spm=jlcpcb.Public.2006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www.mouser.es/datasheet/3/175/1/ZXMN3B14F.pdf" TargetMode="External"/><Relationship Id="rId6" Type="http://schemas.openxmlformats.org/officeDocument/2006/relationships/hyperlink" Target="https://www.mouser.es/datasheet/3/1278/1/080A7561932A882253F24EE2F1BFBB37F2FE6DCAD49B4883533175650C45BFA9.pdf" TargetMode="External"/><Relationship Id="rId7" Type="http://schemas.openxmlformats.org/officeDocument/2006/relationships/hyperlink" Target="https://www.ti.com/lit/ds/symlink/opt3001-q1.pdf?ts=1783836413148" TargetMode="External"/><Relationship Id="rId8" Type="http://schemas.openxmlformats.org/officeDocument/2006/relationships/hyperlink" Target="https://www.aosmd.com/sites/default/files/res/datasheets/AO3401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4.38"/>
    <col customWidth="1" min="3" max="3" width="13.25"/>
    <col customWidth="1" min="4" max="4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4" t="s">
        <v>7</v>
      </c>
      <c r="D2" s="5">
        <v>6.05</v>
      </c>
      <c r="E2" s="6">
        <v>1.0</v>
      </c>
    </row>
    <row r="3" ht="22.5" customHeight="1">
      <c r="A3" s="3" t="s">
        <v>8</v>
      </c>
      <c r="B3" s="3" t="s">
        <v>9</v>
      </c>
      <c r="C3" s="7" t="s">
        <v>10</v>
      </c>
      <c r="D3" s="5">
        <v>0.22</v>
      </c>
      <c r="E3" s="6">
        <v>1.0</v>
      </c>
    </row>
    <row r="4" ht="22.5" customHeight="1">
      <c r="A4" s="3" t="s">
        <v>11</v>
      </c>
      <c r="B4" s="3" t="s">
        <v>12</v>
      </c>
      <c r="C4" s="7" t="s">
        <v>13</v>
      </c>
      <c r="D4" s="5">
        <v>0.68</v>
      </c>
      <c r="E4" s="6">
        <v>1.0</v>
      </c>
    </row>
    <row r="5" ht="22.5" customHeight="1">
      <c r="A5" s="3" t="s">
        <v>14</v>
      </c>
      <c r="B5" s="3" t="s">
        <v>15</v>
      </c>
      <c r="C5" s="7" t="s">
        <v>16</v>
      </c>
      <c r="D5" s="8">
        <v>0.25</v>
      </c>
      <c r="E5" s="9">
        <v>1.0</v>
      </c>
    </row>
    <row r="6" ht="22.5" customHeight="1">
      <c r="A6" s="10" t="s">
        <v>17</v>
      </c>
      <c r="B6" s="3" t="s">
        <v>18</v>
      </c>
      <c r="C6" s="4" t="s">
        <v>19</v>
      </c>
      <c r="D6" s="5">
        <v>1.11</v>
      </c>
      <c r="E6" s="6">
        <v>2.0</v>
      </c>
    </row>
    <row r="7" ht="22.5" customHeight="1">
      <c r="A7" s="3" t="s">
        <v>20</v>
      </c>
      <c r="B7" s="3" t="s">
        <v>21</v>
      </c>
      <c r="C7" s="4" t="s">
        <v>22</v>
      </c>
      <c r="D7" s="11">
        <v>2.13</v>
      </c>
      <c r="E7" s="12">
        <v>1.0</v>
      </c>
    </row>
    <row r="8" ht="22.5" customHeight="1">
      <c r="A8" s="3" t="s">
        <v>23</v>
      </c>
      <c r="B8" s="3" t="s">
        <v>24</v>
      </c>
      <c r="C8" s="7" t="s">
        <v>25</v>
      </c>
      <c r="D8" s="11">
        <v>1.38</v>
      </c>
      <c r="E8" s="12">
        <v>1.0</v>
      </c>
    </row>
    <row r="9" ht="22.5" customHeight="1">
      <c r="A9" s="3" t="s">
        <v>26</v>
      </c>
      <c r="B9" s="3" t="s">
        <v>27</v>
      </c>
      <c r="C9" s="4" t="s">
        <v>28</v>
      </c>
      <c r="D9" s="11">
        <v>0.72</v>
      </c>
      <c r="E9" s="12">
        <v>1.0</v>
      </c>
    </row>
    <row r="10" ht="22.5" customHeight="1">
      <c r="A10" s="3" t="s">
        <v>29</v>
      </c>
      <c r="B10" s="3" t="s">
        <v>30</v>
      </c>
      <c r="C10" s="4" t="s">
        <v>31</v>
      </c>
      <c r="D10" s="11">
        <v>0.31</v>
      </c>
      <c r="E10" s="12">
        <v>1.0</v>
      </c>
    </row>
    <row r="11" ht="22.5" customHeight="1">
      <c r="A11" s="13" t="s">
        <v>32</v>
      </c>
      <c r="B11" s="14" t="s">
        <v>33</v>
      </c>
      <c r="C11" s="15" t="s">
        <v>34</v>
      </c>
      <c r="D11" s="16">
        <v>0.36</v>
      </c>
      <c r="E11" s="17">
        <v>2.0</v>
      </c>
    </row>
    <row r="12" ht="22.5" customHeight="1">
      <c r="A12" s="3" t="s">
        <v>35</v>
      </c>
      <c r="B12" s="18" t="s">
        <v>36</v>
      </c>
      <c r="C12" s="4" t="s">
        <v>37</v>
      </c>
      <c r="D12" s="5">
        <v>1.41</v>
      </c>
      <c r="E12" s="19">
        <v>1.0</v>
      </c>
    </row>
    <row r="13" ht="22.5" customHeight="1">
      <c r="A13" s="3" t="s">
        <v>38</v>
      </c>
      <c r="B13" s="20" t="s">
        <v>39</v>
      </c>
      <c r="C13" s="4" t="s">
        <v>40</v>
      </c>
      <c r="D13" s="21">
        <v>0.5</v>
      </c>
      <c r="E13" s="22">
        <v>1.0</v>
      </c>
    </row>
    <row r="14" ht="22.5" customHeight="1">
      <c r="A14" s="3" t="s">
        <v>41</v>
      </c>
      <c r="B14" s="23" t="s">
        <v>42</v>
      </c>
      <c r="C14" s="24" t="s">
        <v>43</v>
      </c>
      <c r="D14" s="25">
        <v>1.41</v>
      </c>
      <c r="E14" s="26">
        <v>1.0</v>
      </c>
    </row>
    <row r="15" ht="22.5" customHeight="1">
      <c r="A15" s="3" t="s">
        <v>44</v>
      </c>
      <c r="B15" s="3"/>
      <c r="C15" s="4" t="s">
        <v>45</v>
      </c>
      <c r="D15" s="25">
        <v>6.09</v>
      </c>
      <c r="E15" s="26">
        <v>1.0</v>
      </c>
    </row>
    <row r="16" ht="22.5" customHeight="1">
      <c r="C16" s="27" t="s">
        <v>46</v>
      </c>
      <c r="D16" s="28">
        <f>SUMPRODUCT(D2:D15, E2:E15)</f>
        <v>24.09</v>
      </c>
      <c r="E16" s="2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  <tableParts count="1">
    <tablePart r:id="rId17"/>
  </tableParts>
</worksheet>
</file>